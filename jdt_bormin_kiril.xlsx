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x20umf\Documents\github\347-docker-swarm-wordpress\"/>
    </mc:Choice>
  </mc:AlternateContent>
  <xr:revisionPtr revIDLastSave="0" documentId="13_ncr:1_{2458DDEF-0619-4908-861E-98A15973960E}" xr6:coauthVersionLast="47" xr6:coauthVersionMax="47" xr10:uidLastSave="{00000000-0000-0000-0000-000000000000}"/>
  <bookViews>
    <workbookView xWindow="4185" yWindow="2715" windowWidth="17145" windowHeight="1195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<sst xmlns="http://schemas.openxmlformats.org/spreadsheetml/2006/main" count="84" uniqueCount="56">
  <si>
    <t>Journal de travail</t>
  </si>
  <si>
    <t>Auteur:</t>
  </si>
  <si>
    <t>Bormin Kiril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</si>
  <si>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</si>
  <si>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</si>
  <si>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</si>
  <si>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</si>
  <si>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</si>
  <si>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</si>
  <si>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</si>
  <si>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</si>
  <si>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</si>
  <si>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</si>
  <si>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</si>
  <si>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</si>
  <si>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</si>
  <si>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</si>
  <si>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</si>
  <si>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</si>
  <si>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</si>
  <si>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</si>
  <si>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</si>
  <si>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</si>
  <si>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</si>
  <si>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</si>
  <si>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</si>
  <si>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</si>
  <si>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</si>
  <si>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</si>
  <si>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</si>
  <si>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P_DevOps</t>
  </si>
  <si>
    <t xml:space="preserve">26.08.2026 -  28.10.2026 </t>
  </si>
  <si>
    <t xml:space="preserve">Mise en place de repo Github et partage avec l'enseignant </t>
  </si>
  <si>
    <t>Planification dans le Github Project</t>
  </si>
  <si>
    <t>Mise en place des 3 VMs avec la connection ssh</t>
  </si>
  <si>
    <t>Installation de docker sur toutes les machines</t>
  </si>
  <si>
    <t>Initialisation du cluster Swarm sur le manager et connexion des deux workers</t>
  </si>
  <si>
    <t>Création des réseaux overlay (frontend, backend) et des Docker Secrets</t>
  </si>
  <si>
    <t>Config du nginx et docker compose</t>
  </si>
  <si>
    <t>Déploiement de la stack WordPress et résolution de l'erreur de build MariaDB</t>
  </si>
  <si>
    <t>L'image mariadb 12.0.1 n'existe pas sur Docker Hub, utilisation du tag 11.4</t>
  </si>
  <si>
    <t>Analyse des erreurs de déploiement multi-nœuds des répliques Nginx et WordPress sur les workers</t>
  </si>
  <si>
    <t>Tests d'équilibrage de charge et de placement des services dans Swarm</t>
  </si>
  <si>
    <t>Déploiement effectif de la stack wp_stack et synchronisation de la configuration Nginx sur tous les workers</t>
  </si>
  <si>
    <t>Diagnostic et résolution de la boucle infinie de redirection à la connexion admin (&amp;reauth=1)</t>
  </si>
  <si>
    <t>Mise à jour finale du README.md avec la résolution des clés secrètes et validation réussie de la connexion au tableau de bord</t>
  </si>
  <si>
    <t xml:space="preserve">Config du reverse proxy Nginx </t>
  </si>
  <si>
    <t>Réinitialisation et fiabilisation du cluster Swarm, recréation des réseaux overlay (frontend, backend) et des secrets Docker</t>
  </si>
  <si>
    <t>Rédaction docker-compose.yml</t>
  </si>
  <si>
    <t xml:space="preserve">Structuration du README.md étape par étape </t>
  </si>
  <si>
    <t>Configuration de l'accès client Windows sans droits administrateur et installation initiale du site WordPress</t>
  </si>
  <si>
    <t>Mise en place de auto deploy où cas où la VM s'éteigne</t>
  </si>
  <si>
    <t>Installation et fixe de bug avec swarmpit</t>
  </si>
  <si>
    <t>Test de théorie</t>
  </si>
  <si>
    <t>Vérification de l'avancement du projet</t>
  </si>
  <si>
    <t>Tous semble être complet, il reste qu'à faire la release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</si>
</sst>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50</c:v>
                </c:pt>
                <c:pt idx="1">
                  <c:v>640</c:v>
                </c:pt>
                <c:pt idx="2">
                  <c:v>25</c:v>
                </c:pt>
                <c:pt idx="3">
                  <c:v>70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5.181347150259067E-2</c:v>
                </c:pt>
                <c:pt idx="1">
                  <c:v>0.66321243523316065</c:v>
                </c:pt>
                <c:pt idx="2">
                  <c:v>2.5906735751295335E-2</c:v>
                </c:pt>
                <c:pt idx="3">
                  <c:v>7.2538860103626937E-2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F1" zoomScale="85" zoomScaleNormal="85" workbookViewId="0">
      <pane ySplit="6" topLeftCell="A21" activePane="bottomLeft" state="frozen"/>
      <selection pane="bottomLeft" activeCell="G25" sqref="G2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2</v>
      </c>
      <c r="D2" s="84"/>
      <c r="E2" s="84"/>
      <c r="F2" s="5" t="s">
        <v>3</v>
      </c>
      <c r="G2" s="64" t="s">
        <v>30</v>
      </c>
    </row>
    <row r="3" spans="1:15" ht="23.25" x14ac:dyDescent="0.35">
      <c r="A3" s="86" t="s">
        <v>4</v>
      </c>
      <c r="B3" s="86"/>
      <c r="C3" s="67" t="str">
        <f>QUOTIENT(E4,60)&amp;" heures "&amp;MOD(E4,60)&amp;" minutes"</f>
        <v>16 heures 5 minutes</v>
      </c>
      <c r="D3" s="17"/>
      <c r="E3" s="3"/>
      <c r="F3" s="4" t="s">
        <v>5</v>
      </c>
      <c r="G3" s="65" t="s">
        <v>31</v>
      </c>
    </row>
    <row r="4" spans="1:15" ht="23.25" hidden="1" x14ac:dyDescent="0.35">
      <c r="B4" s="5"/>
      <c r="C4" s="17">
        <f>SUBTOTAL(9,$C$7:$C$531)*60</f>
        <v>420</v>
      </c>
      <c r="D4" s="17">
        <f>SUBTOTAL(9,$D$7:$D$531)</f>
        <v>545</v>
      </c>
      <c r="E4" s="24">
        <f>SUM(C4:D4)</f>
        <v>965</v>
      </c>
      <c r="F4" s="4"/>
      <c r="G4" s="6"/>
    </row>
    <row r="5" spans="1:15" x14ac:dyDescent="0.25">
      <c r="C5" s="85" t="s">
        <v>6</v>
      </c>
      <c r="D5" s="85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35</v>
      </c>
      <c r="B7" s="26">
        <v>46260</v>
      </c>
      <c r="C7" s="27"/>
      <c r="D7" s="28">
        <v>20</v>
      </c>
      <c r="E7" s="29" t="s">
        <v>15</v>
      </c>
      <c r="F7" s="23" t="s">
        <v>32</v>
      </c>
      <c r="G7" s="38"/>
    </row>
    <row r="8" spans="1:15" x14ac:dyDescent="0.25">
      <c r="A8" s="62">
        <f>IF(ISBLANK(B8),"",_xlfn.ISOWEEKNUM('Journal de travail'!$B8))</f>
        <v>35</v>
      </c>
      <c r="B8" s="30">
        <v>46260</v>
      </c>
      <c r="C8" s="31"/>
      <c r="D8" s="32">
        <v>20</v>
      </c>
      <c r="E8" s="33" t="s">
        <v>15</v>
      </c>
      <c r="F8" s="23" t="s">
        <v>33</v>
      </c>
      <c r="G8" s="39"/>
      <c r="M8" t="s">
        <v>14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35</v>
      </c>
      <c r="B9" s="34">
        <v>46260</v>
      </c>
      <c r="C9" s="35">
        <v>1</v>
      </c>
      <c r="D9" s="36">
        <v>10</v>
      </c>
      <c r="E9" s="37" t="s">
        <v>15</v>
      </c>
      <c r="F9" s="23" t="s">
        <v>34</v>
      </c>
      <c r="G9" s="40"/>
      <c r="M9" t="s">
        <v>15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35</v>
      </c>
      <c r="B10" s="30">
        <v>46260</v>
      </c>
      <c r="C10" s="31"/>
      <c r="D10" s="32">
        <v>15</v>
      </c>
      <c r="E10" s="33" t="s">
        <v>15</v>
      </c>
      <c r="F10" s="23" t="s">
        <v>35</v>
      </c>
      <c r="G10" s="39"/>
      <c r="M10" t="s">
        <v>16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36</v>
      </c>
      <c r="B11" s="34">
        <v>46267</v>
      </c>
      <c r="C11" s="35"/>
      <c r="D11" s="36">
        <v>35</v>
      </c>
      <c r="E11" s="37" t="s">
        <v>15</v>
      </c>
      <c r="F11" s="23" t="s">
        <v>36</v>
      </c>
      <c r="G11" s="40"/>
      <c r="M11" t="s">
        <v>17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36</v>
      </c>
      <c r="B12" s="30">
        <v>46267</v>
      </c>
      <c r="C12" s="31"/>
      <c r="D12" s="32">
        <v>25</v>
      </c>
      <c r="E12" s="33" t="s">
        <v>15</v>
      </c>
      <c r="F12" s="23" t="s">
        <v>37</v>
      </c>
      <c r="G12" s="39"/>
      <c r="M12" t="s">
        <v>18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36</v>
      </c>
      <c r="B13" s="34">
        <v>46267</v>
      </c>
      <c r="C13" s="35"/>
      <c r="D13" s="36">
        <v>45</v>
      </c>
      <c r="E13" s="37" t="s">
        <v>15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36</v>
      </c>
      <c r="B14" s="30">
        <v>46267</v>
      </c>
      <c r="C14" s="31">
        <v>1</v>
      </c>
      <c r="D14" s="32"/>
      <c r="E14" s="33" t="s">
        <v>15</v>
      </c>
      <c r="F14" s="23" t="s">
        <v>39</v>
      </c>
      <c r="G14" s="39" t="s">
        <v>40</v>
      </c>
      <c r="N14">
        <v>7</v>
      </c>
      <c r="O14">
        <v>30</v>
      </c>
    </row>
    <row r="15" spans="1:15" x14ac:dyDescent="0.25">
      <c r="A15" s="63">
        <f>IF(ISBLANK(B15),"",_xlfn.ISOWEEKNUM('Journal de travail'!$B15))</f>
        <v>37</v>
      </c>
      <c r="B15" s="34">
        <v>46274</v>
      </c>
      <c r="C15" s="35"/>
      <c r="D15" s="36">
        <v>30</v>
      </c>
      <c r="E15" s="37" t="s">
        <v>14</v>
      </c>
      <c r="F15" s="23" t="s">
        <v>41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37</v>
      </c>
      <c r="B16" s="30">
        <v>46274</v>
      </c>
      <c r="C16" s="31">
        <v>1</v>
      </c>
      <c r="D16" s="32">
        <v>10</v>
      </c>
      <c r="E16" s="33" t="s">
        <v>15</v>
      </c>
      <c r="F16" s="23" t="s">
        <v>46</v>
      </c>
      <c r="G16" s="39"/>
      <c r="O16">
        <v>40</v>
      </c>
    </row>
    <row r="17" spans="1:15" x14ac:dyDescent="0.25">
      <c r="A17" s="63">
        <f>IF(ISBLANK(B17),"",_xlfn.ISOWEEKNUM('Journal de travail'!$B17))</f>
        <v>37</v>
      </c>
      <c r="B17" s="34">
        <v>46274</v>
      </c>
      <c r="C17" s="35"/>
      <c r="D17" s="36">
        <v>25</v>
      </c>
      <c r="E17" s="37" t="s">
        <v>16</v>
      </c>
      <c r="F17" s="23" t="s">
        <v>42</v>
      </c>
      <c r="G17" s="40"/>
      <c r="O17">
        <v>45</v>
      </c>
    </row>
    <row r="18" spans="1:15" ht="31.5" x14ac:dyDescent="0.25">
      <c r="A18" s="62">
        <f>IF(ISBLANK(B18),"",_xlfn.ISOWEEKNUM('Journal de travail'!$B18))</f>
        <v>38</v>
      </c>
      <c r="B18" s="30">
        <v>46281</v>
      </c>
      <c r="C18" s="31">
        <v>1</v>
      </c>
      <c r="D18" s="32">
        <v>40</v>
      </c>
      <c r="E18" s="33" t="s">
        <v>15</v>
      </c>
      <c r="F18" s="23" t="s">
        <v>47</v>
      </c>
      <c r="G18" s="39"/>
      <c r="O18">
        <v>50</v>
      </c>
    </row>
    <row r="19" spans="1:15" x14ac:dyDescent="0.25">
      <c r="A19" s="63">
        <f>IF(ISBLANK(B19),"",_xlfn.ISOWEEKNUM('Journal de travail'!$B19))</f>
        <v>38</v>
      </c>
      <c r="B19" s="34">
        <v>46281</v>
      </c>
      <c r="C19" s="35"/>
      <c r="D19" s="36">
        <v>25</v>
      </c>
      <c r="E19" s="37" t="s">
        <v>17</v>
      </c>
      <c r="F19" s="23" t="s">
        <v>48</v>
      </c>
      <c r="G19" s="40"/>
      <c r="O19">
        <v>55</v>
      </c>
    </row>
    <row r="20" spans="1:15" x14ac:dyDescent="0.25">
      <c r="A20" s="62">
        <f>IF(ISBLANK(B20),"",_xlfn.ISOWEEKNUM('Journal de travail'!$B20))</f>
        <v>38</v>
      </c>
      <c r="B20" s="30">
        <v>46281</v>
      </c>
      <c r="C20" s="31"/>
      <c r="D20" s="32">
        <v>20</v>
      </c>
      <c r="E20" s="33" t="s">
        <v>17</v>
      </c>
      <c r="F20" s="23" t="s">
        <v>49</v>
      </c>
      <c r="G20" s="39"/>
    </row>
    <row r="21" spans="1:15" ht="31.5" x14ac:dyDescent="0.25">
      <c r="A21" s="63">
        <f>IF(ISBLANK(B21),"",_xlfn.ISOWEEKNUM('Journal de travail'!$B21))</f>
        <v>40</v>
      </c>
      <c r="B21" s="34">
        <v>46293</v>
      </c>
      <c r="C21" s="35"/>
      <c r="D21" s="36">
        <v>35</v>
      </c>
      <c r="E21" s="37" t="s">
        <v>15</v>
      </c>
      <c r="F21" s="23" t="s">
        <v>43</v>
      </c>
      <c r="G21" s="40"/>
    </row>
    <row r="22" spans="1:15" ht="31.5" x14ac:dyDescent="0.25">
      <c r="A22" s="62">
        <f>IF(ISBLANK(B22),"",_xlfn.ISOWEEKNUM('Journal de travail'!$B22))</f>
        <v>40</v>
      </c>
      <c r="B22" s="30">
        <v>46293</v>
      </c>
      <c r="C22" s="31"/>
      <c r="D22" s="32">
        <v>30</v>
      </c>
      <c r="E22" s="33" t="s">
        <v>15</v>
      </c>
      <c r="F22" s="23" t="s">
        <v>50</v>
      </c>
      <c r="G22" s="39"/>
    </row>
    <row r="23" spans="1:15" x14ac:dyDescent="0.25">
      <c r="A23" s="63">
        <f>IF(ISBLANK(B23),"",_xlfn.ISOWEEKNUM('Journal de travail'!$B23))</f>
        <v>40</v>
      </c>
      <c r="B23" s="34">
        <v>46295</v>
      </c>
      <c r="C23" s="35"/>
      <c r="D23" s="36">
        <v>45</v>
      </c>
      <c r="E23" s="37" t="s">
        <v>15</v>
      </c>
      <c r="F23" s="23" t="s">
        <v>44</v>
      </c>
      <c r="G23" s="40"/>
    </row>
    <row r="24" spans="1:15" ht="31.5" x14ac:dyDescent="0.25">
      <c r="A24" s="62">
        <f>IF(ISBLANK(B24),"",_xlfn.ISOWEEKNUM('Journal de travail'!$B24))</f>
        <v>40</v>
      </c>
      <c r="B24" s="30">
        <v>46295</v>
      </c>
      <c r="C24" s="31"/>
      <c r="D24" s="32">
        <v>25</v>
      </c>
      <c r="E24" s="33" t="s">
        <v>17</v>
      </c>
      <c r="F24" s="23" t="s">
        <v>45</v>
      </c>
      <c r="G24" s="39"/>
    </row>
    <row r="25" spans="1:15" x14ac:dyDescent="0.25">
      <c r="A25" s="63">
        <f>IF(ISBLANK(B25),"",_xlfn.ISOWEEKNUM('Journal de travail'!$B25))</f>
        <v>40</v>
      </c>
      <c r="B25" s="34">
        <v>46295</v>
      </c>
      <c r="C25" s="35"/>
      <c r="D25" s="36">
        <v>20</v>
      </c>
      <c r="E25" s="37" t="s">
        <v>15</v>
      </c>
      <c r="F25" s="23" t="s">
        <v>51</v>
      </c>
      <c r="G25" s="40"/>
    </row>
    <row r="26" spans="1:15" x14ac:dyDescent="0.25">
      <c r="A26" s="62">
        <f>IF(ISBLANK(B26),"",_xlfn.ISOWEEKNUM('Journal de travail'!$B26))</f>
        <v>40</v>
      </c>
      <c r="B26" s="30">
        <v>46295</v>
      </c>
      <c r="C26" s="31"/>
      <c r="D26" s="32">
        <v>50</v>
      </c>
      <c r="E26" s="33" t="s">
        <v>15</v>
      </c>
      <c r="F26" s="23" t="s">
        <v>52</v>
      </c>
      <c r="G26" s="39"/>
    </row>
    <row r="27" spans="1:15" x14ac:dyDescent="0.25">
      <c r="A27" s="63">
        <f>IF(ISBLANK(B27),"",_xlfn.ISOWEEKNUM('Journal de travail'!$B27))</f>
        <v>41</v>
      </c>
      <c r="B27" s="34">
        <v>46300</v>
      </c>
      <c r="C27" s="35">
        <v>3</v>
      </c>
      <c r="D27" s="36"/>
      <c r="E27" s="37" t="s">
        <v>18</v>
      </c>
      <c r="F27" s="23" t="s">
        <v>53</v>
      </c>
      <c r="G27" s="40"/>
    </row>
    <row r="28" spans="1:15" x14ac:dyDescent="0.25">
      <c r="A28" s="62">
        <f>IF(ISBLANK(B28),"",_xlfn.ISOWEEKNUM('Journal de travail'!$B28))</f>
        <v>44</v>
      </c>
      <c r="B28" s="30">
        <v>46321</v>
      </c>
      <c r="C28" s="31"/>
      <c r="D28" s="32">
        <v>20</v>
      </c>
      <c r="E28" s="33" t="s">
        <v>14</v>
      </c>
      <c r="F28" s="22" t="s">
        <v>54</v>
      </c>
      <c r="G28" s="39" t="s">
        <v>55</v>
      </c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90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50</v>
      </c>
      <c r="C6">
        <f t="shared" ref="C6:C10" si="0">SUM(A6:B6)</f>
        <v>50</v>
      </c>
      <c r="E6" s="70" t="str">
        <f>'Journal de travail'!M8</f>
        <v>Analyse</v>
      </c>
      <c r="F6" s="71" t="str">
        <f>QUOTIENT(SUM(A6:B6),60)&amp;" h "&amp;TEXT(MOD(SUM(A6:B6),60), "00")&amp;" min"</f>
        <v>0 h 50 min</v>
      </c>
      <c r="G6" s="72">
        <f>SUM(A6:B6)/$C$11</f>
        <v>5.181347150259067E-2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240</v>
      </c>
      <c r="B7">
        <f>SUMIF('Journal de travail'!$E$7:$E$532,Plannification!E7,'Journal de travail'!$D$7:$D$532)</f>
        <v>400</v>
      </c>
      <c r="C7">
        <f t="shared" si="0"/>
        <v>640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10 h 40 min</v>
      </c>
      <c r="G7" s="75">
        <f t="shared" ref="G7:G9" si="2">SUM(A7:B7)/$C$11</f>
        <v>0.66321243523316065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25</v>
      </c>
      <c r="C8">
        <f t="shared" si="0"/>
        <v>25</v>
      </c>
      <c r="E8" s="76" t="str">
        <f>'Journal de travail'!M10</f>
        <v>Test</v>
      </c>
      <c r="F8" s="71" t="str">
        <f t="shared" si="1"/>
        <v>0 h 25 min</v>
      </c>
      <c r="G8" s="72">
        <f t="shared" si="2"/>
        <v>2.5906735751295335E-2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70</v>
      </c>
      <c r="C9">
        <f t="shared" si="0"/>
        <v>70</v>
      </c>
      <c r="E9" s="77" t="str">
        <f>'Journal de travail'!M11</f>
        <v>Documentation</v>
      </c>
      <c r="F9" s="74" t="str">
        <f t="shared" si="1"/>
        <v>1 h 10 min</v>
      </c>
      <c r="G9" s="75">
        <f t="shared" si="2"/>
        <v>7.2538860103626937E-2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180</v>
      </c>
      <c r="B10">
        <f>SUMIF('Journal de travail'!$E$7:$E$532,Plannification!E10,'Journal de travail'!$D$7:$D$532)</f>
        <v>0</v>
      </c>
      <c r="C10">
        <f t="shared" si="0"/>
        <v>180</v>
      </c>
      <c r="E10" s="78" t="s">
        <v>18</v>
      </c>
      <c r="F10" s="79" t="str">
        <f t="shared" ref="F10" si="4">QUOTIENT(SUM(A10:B10),60)&amp;" h "&amp;TEXT(MOD(SUM(A10:B10),60), "00")&amp;" min"</f>
        <v>3 h 00 min</v>
      </c>
      <c r="G10" s="80">
        <f>SUM(A10:B10)/$C$11</f>
        <v>0.18652849740932642</v>
      </c>
      <c r="L10" s="69" t="s">
        <v>18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420</v>
      </c>
      <c r="B11">
        <f>SUM(B6:B10)</f>
        <v>545</v>
      </c>
      <c r="C11">
        <f>SUM(A11:B11)</f>
        <v>965</v>
      </c>
      <c r="E11" s="81" t="s">
        <v>29</v>
      </c>
      <c r="F11" s="71" t="str">
        <f t="shared" si="1"/>
        <v>16 h 05 min</v>
      </c>
      <c r="G11" s="82">
        <f>C11/C12</f>
        <v>0.1787037037037037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Kiril Bormin</cp:lastModifiedBy>
  <cp:revision/>
  <dcterms:created xsi:type="dcterms:W3CDTF">2023-11-21T20:00:34Z</dcterms:created>
  <dcterms:modified xsi:type="dcterms:W3CDTF">2026-10-26T11:58:59Z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