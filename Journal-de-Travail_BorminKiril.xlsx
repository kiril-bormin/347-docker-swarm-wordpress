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x20umf\Documents\github\347-docker-swarm-wordpress\"/>
    </mc:Choice>
  </mc:AlternateContent>
  <xr:revisionPtr revIDLastSave="0" documentId="13_ncr:1_{A57F2BC2-75D8-413C-8FC9-7E8C2BDBF099}" xr6:coauthVersionLast="47" xr6:coauthVersionMax="47" xr10:uidLastSave="{00000000-0000-0000-0000-000000000000}"/>
  <bookViews>
    <workbookView xWindow="-120" yWindow="-120" windowWidth="29040" windowHeight="1572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<sst xmlns="http://schemas.openxmlformats.org/spreadsheetml/2006/main" count="46" uniqueCount="36">
  <si>
    <t>Journal de travail</t>
  </si>
  <si>
    <t>Auteur:</t>
  </si>
  <si>
    <t>Bormin Kiril</t>
  </si>
  <si>
    <t>Projet:</t>
  </si>
  <si>
    <t>Temps total:</t>
  </si>
  <si>
    <t>Date: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</si>
  <si>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</si>
  <si>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</si>
  <si>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</si>
  <si>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</si>
  <si>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</si>
  <si>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</si>
  <si>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</si>
  <si>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</si>
  <si>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Analyse</t>
  </si>
  <si>
    <t>Implémentation</t>
  </si>
  <si>
    <t>Test</t>
  </si>
  <si>
    <t>Documentation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</si>
  <si>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</si>
  <si>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</si>
  <si>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</si>
  <si>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</si>
  <si>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</si>
  <si>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</si>
  <si>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</si>
  <si>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</si>
  <si>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</si>
  <si>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</si>
  <si>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</si>
  <si>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</si>
  <si>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P_DevOps</t>
  </si>
  <si>
    <t xml:space="preserve">26.08.2026 -  28.10.2026 </t>
  </si>
  <si>
    <t xml:space="preserve">Mise en place de repo Github et partage avec l'enseignant </t>
  </si>
  <si>
    <t>Planification dans le Github Project</t>
  </si>
  <si>
    <t>Mise en place des 3 VMs avec la connection ssh</t>
  </si>
  <si>
    <t>Installation de docker sur toutes les machines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</si>
</sst>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0</c:v>
                </c:pt>
                <c:pt idx="1">
                  <c:v>125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85" zoomScaleNormal="85" workbookViewId="0">
      <pane ySplit="6" topLeftCell="A7" activePane="bottomLeft" state="frozen"/>
      <selection pane="bottomLeft" activeCell="E11" sqref="E11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86" t="s">
        <v>1</v>
      </c>
      <c r="B2" s="86"/>
      <c r="C2" s="84" t="s">
        <v>2</v>
      </c>
      <c r="D2" s="84"/>
      <c r="E2" s="84"/>
      <c r="F2" s="5" t="s">
        <v>3</v>
      </c>
      <c r="G2" s="64" t="s">
        <v>30</v>
      </c>
    </row>
    <row r="3" spans="1:15" ht="23.25" x14ac:dyDescent="0.35">
      <c r="A3" s="86" t="s">
        <v>4</v>
      </c>
      <c r="B3" s="86"/>
      <c r="C3" s="67" t="str">
        <f>QUOTIENT(E4,60)&amp;" heures "&amp;MOD(E4,60)&amp;" minutes"</f>
        <v>2 heures 5 minutes</v>
      </c>
      <c r="D3" s="17"/>
      <c r="E3" s="3"/>
      <c r="F3" s="4" t="s">
        <v>5</v>
      </c>
      <c r="G3" s="65" t="s">
        <v>31</v>
      </c>
    </row>
    <row r="4" spans="1:15" ht="23.25" hidden="1" x14ac:dyDescent="0.35">
      <c r="B4" s="5"/>
      <c r="C4" s="17">
        <f>SUBTOTAL(9,$C$7:$C$531)*60</f>
        <v>60</v>
      </c>
      <c r="D4" s="17">
        <f>SUBTOTAL(9,$D$7:$D$531)</f>
        <v>65</v>
      </c>
      <c r="E4" s="24">
        <f>SUM(C4:D4)</f>
        <v>125</v>
      </c>
      <c r="F4" s="4"/>
      <c r="G4" s="6"/>
    </row>
    <row r="5" spans="1:15" x14ac:dyDescent="0.25">
      <c r="C5" s="85" t="s">
        <v>6</v>
      </c>
      <c r="D5" s="85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9</v>
      </c>
      <c r="D6" s="16" t="s">
        <v>10</v>
      </c>
      <c r="E6" s="14" t="s">
        <v>11</v>
      </c>
      <c r="F6" s="14" t="s">
        <v>12</v>
      </c>
      <c r="G6" s="14" t="s">
        <v>13</v>
      </c>
    </row>
    <row r="7" spans="1:15" x14ac:dyDescent="0.25">
      <c r="A7" s="61">
        <f>IF(ISBLANK(B7),"",_xlfn.ISOWEEKNUM('Journal de travail'!$B7))</f>
        <v>35</v>
      </c>
      <c r="B7" s="26">
        <v>46260</v>
      </c>
      <c r="C7" s="27"/>
      <c r="D7" s="28">
        <v>20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35</v>
      </c>
      <c r="B8" s="30">
        <v>46260</v>
      </c>
      <c r="C8" s="31"/>
      <c r="D8" s="32">
        <v>20</v>
      </c>
      <c r="E8" s="33" t="s">
        <v>15</v>
      </c>
      <c r="F8" s="23" t="s">
        <v>33</v>
      </c>
      <c r="G8" s="39"/>
      <c r="M8" t="s">
        <v>14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35</v>
      </c>
      <c r="B9" s="34">
        <v>46260</v>
      </c>
      <c r="C9" s="35">
        <v>1</v>
      </c>
      <c r="D9" s="36">
        <v>10</v>
      </c>
      <c r="E9" s="37" t="s">
        <v>15</v>
      </c>
      <c r="F9" s="23" t="s">
        <v>34</v>
      </c>
      <c r="G9" s="40"/>
      <c r="M9" t="s">
        <v>15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35</v>
      </c>
      <c r="B10" s="30">
        <v>46260</v>
      </c>
      <c r="C10" s="31"/>
      <c r="D10" s="32">
        <v>15</v>
      </c>
      <c r="E10" s="33" t="s">
        <v>15</v>
      </c>
      <c r="F10" s="23" t="s">
        <v>35</v>
      </c>
      <c r="G10" s="39"/>
      <c r="M10" t="s">
        <v>16</v>
      </c>
      <c r="N10">
        <v>3</v>
      </c>
      <c r="O10">
        <v>10</v>
      </c>
    </row>
    <row r="11" spans="1:15" x14ac:dyDescent="0.25">
      <c r="A11" s="63" t="str">
        <f>IF(ISBLANK(B11),"",_xlfn.ISOWEEKNUM('Journal de travail'!$B11))</f>
        <v/>
      </c>
      <c r="B11" s="34"/>
      <c r="C11" s="35"/>
      <c r="D11" s="36"/>
      <c r="E11" s="37"/>
      <c r="F11" s="23"/>
      <c r="G11" s="40"/>
      <c r="M11" t="s">
        <v>17</v>
      </c>
      <c r="N11">
        <v>4</v>
      </c>
      <c r="O11">
        <v>15</v>
      </c>
    </row>
    <row r="12" spans="1:15" x14ac:dyDescent="0.25">
      <c r="A12" s="62" t="str">
        <f>IF(ISBLANK(B12),"",_xlfn.ISOWEEKNUM('Journal de travail'!$B12))</f>
        <v/>
      </c>
      <c r="B12" s="30"/>
      <c r="C12" s="31"/>
      <c r="D12" s="32"/>
      <c r="E12" s="33"/>
      <c r="F12" s="23"/>
      <c r="G12" s="39"/>
      <c r="M12" t="s">
        <v>18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19</v>
      </c>
      <c r="F2" s="68">
        <v>90</v>
      </c>
      <c r="G2" s="66" t="s">
        <v>20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21</v>
      </c>
      <c r="L4" s="66" t="s">
        <v>22</v>
      </c>
      <c r="M4" s="41"/>
      <c r="N4" s="19"/>
    </row>
    <row r="5" spans="1:14" x14ac:dyDescent="0.3">
      <c r="A5" t="s">
        <v>23</v>
      </c>
      <c r="B5" t="s">
        <v>24</v>
      </c>
      <c r="C5" s="41" t="s">
        <v>25</v>
      </c>
      <c r="D5" s="42"/>
      <c r="E5" s="45" t="s">
        <v>26</v>
      </c>
      <c r="F5" s="46" t="s">
        <v>27</v>
      </c>
      <c r="G5" s="47" t="s">
        <v>28</v>
      </c>
      <c r="L5" s="48" t="s">
        <v>26</v>
      </c>
      <c r="M5" s="49" t="s">
        <v>27</v>
      </c>
      <c r="N5" s="50" t="s">
        <v>28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0</v>
      </c>
      <c r="C6">
        <f t="shared" ref="C6:C10" si="0">SUM(A6:B6)</f>
        <v>0</v>
      </c>
      <c r="E6" s="70" t="str">
        <f>'Journal de travail'!M8</f>
        <v>Analyse</v>
      </c>
      <c r="F6" s="71" t="str">
        <f>QUOTIENT(SUM(A6:B6),60)&amp;" h "&amp;TEXT(MOD(SUM(A6:B6),60), "00")&amp;" min"</f>
        <v>0 h 00 min</v>
      </c>
      <c r="G6" s="72">
        <f>SUM(A6:B6)/$C$11</f>
        <v>0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60</v>
      </c>
      <c r="B7">
        <f>SUMIF('Journal de travail'!$E$7:$E$532,Plannification!E7,'Journal de travail'!$D$7:$D$532)</f>
        <v>65</v>
      </c>
      <c r="C7">
        <f t="shared" si="0"/>
        <v>125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05 min</v>
      </c>
      <c r="G7" s="75">
        <f t="shared" ref="G7:G9" si="2">SUM(A7:B7)/$C$11</f>
        <v>1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0</v>
      </c>
      <c r="C9">
        <f t="shared" si="0"/>
        <v>0</v>
      </c>
      <c r="E9" s="77" t="str">
        <f>'Journal de travail'!M11</f>
        <v>Documentation</v>
      </c>
      <c r="F9" s="74" t="str">
        <f t="shared" si="1"/>
        <v>0 h 00 min</v>
      </c>
      <c r="G9" s="75">
        <f t="shared" si="2"/>
        <v>0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60</v>
      </c>
      <c r="B11">
        <f>SUM(B6:B10)</f>
        <v>65</v>
      </c>
      <c r="C11">
        <f>SUM(A11:B11)</f>
        <v>125</v>
      </c>
      <c r="E11" s="81" t="s">
        <v>29</v>
      </c>
      <c r="F11" s="71" t="str">
        <f t="shared" si="1"/>
        <v>2 h 05 min</v>
      </c>
      <c r="G11" s="82">
        <f>C11/C12</f>
        <v>2.3148148148148147E-2</v>
      </c>
      <c r="L11" s="56" t="s">
        <v>29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62349bcdb43c26c508700efba1cb50b1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0e5d6db3f342a25e0e30f4a2965162e1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2eeb120a-7290-4c31-81ff-683cec3c1602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www.w3.org/XML/1998/namespace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932fafb7-d8e0-4a14-bee3-33aad5c71309"/>
    <ds:schemaRef ds:uri="f20a0681-8b2f-4a46-9dab-cf1520193f81"/>
  </ds:schemaRefs>
</ds:datastoreItem>
</file>

<file path=customXml/itemProps3.xml><?xml version="1.0" encoding="utf-8"?>
<ds:datastoreItem xmlns:ds="http://schemas.openxmlformats.org/officeDocument/2006/customXml" ds:itemID="{1424D28F-D6A9-45ED-AED5-A0D744400EE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Kiril Bormin</cp:lastModifiedBy>
  <cp:revision/>
  <dcterms:created xsi:type="dcterms:W3CDTF">2023-11-21T20:00:34Z</dcterms:created>
  <dcterms:modified xsi:type="dcterms:W3CDTF">2026-08-26T14:13:28Z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