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x20umf\Documents\github\347-docker-swarm-wordpress\"/>
    </mc:Choice>
  </mc:AlternateContent>
  <xr:revisionPtr revIDLastSave="0" documentId="13_ncr:1_{0959938A-0135-4A3B-8744-152AC00C4B67}" xr6:coauthVersionLast="47" xr6:coauthVersionMax="47" xr10:uidLastSave="{00000000-0000-0000-0000-000000000000}"/>
  <bookViews>
    <workbookView xWindow="28680" yWindow="-120" windowWidth="29040" windowHeight="1572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<sst xmlns="http://schemas.openxmlformats.org/spreadsheetml/2006/main" count="75" uniqueCount="51">
  <si>
    <t>Journal de travail</t>
  </si>
  <si>
    <t>Auteur:</t>
  </si>
  <si>
    <t>Bormin Kiril</t>
  </si>
  <si>
    <t>Projet:</t>
  </si>
  <si>
    <t>Temps total:</t>
  </si>
  <si>
    <t>Date:</t>
  </si>
  <si>
    <t>Temps</t>
  </si>
  <si>
    <t>Semaine</t>
  </si>
  <si>
    <t>Jour</t>
  </si>
  <si>
    <t xml:space="preserve">h.      </t>
  </si>
  <si>
    <t>min.</t>
  </si>
  <si>
    <t>Type</t>
  </si>
  <si>
    <t>Description</t>
  </si>
  <si>
    <t>Remarques/problèmes</t>
  </si>
  <si>
    <t>Analyse</t>
  </si>
  <si>
    <t>Implémentation</t>
  </si>
  <si>
    <t>Test</t>
  </si>
  <si>
    <t>Documentation</t>
  </si>
  <si>
    <t>Absent</t>
  </si>
  <si>
    <t>Total heures TPI</t>
  </si>
  <si>
    <t>heures</t>
  </si>
  <si>
    <t>Plannification Effective</t>
  </si>
  <si>
    <t>Plannification Initiale</t>
  </si>
  <si>
    <t>Heures</t>
  </si>
  <si>
    <t>Minutes</t>
  </si>
  <si>
    <t xml:space="preserve">Total </t>
  </si>
  <si>
    <t>Type d'activité</t>
  </si>
  <si>
    <t>Total heures</t>
  </si>
  <si>
    <t>en %</t>
  </si>
  <si>
    <t>Total</t>
  </si>
  <si>
    <t>P_DevOps</t>
  </si>
  <si>
    <t xml:space="preserve">26.08.2026 -  28.10.2026 </t>
  </si>
  <si>
    <t xml:space="preserve">Mise en place de repo Github et partage avec l'enseignant </t>
  </si>
  <si>
    <t>Planification dans le Github Project</t>
  </si>
  <si>
    <t>Mise en place des 3 VMs avec la connection ssh</t>
  </si>
  <si>
    <t>Installation de docker sur toutes les machines</t>
  </si>
  <si>
    <t>Initialisation du cluster Swarm sur le manager et connexion des deux workers</t>
  </si>
  <si>
    <t>Création des réseaux overlay (frontend, backend) et des Docker Secrets</t>
  </si>
  <si>
    <t>Config du nginx et docker compose</t>
  </si>
  <si>
    <t>Déploiement de la stack WordPress et résolution de l'erreur de build MariaDB</t>
  </si>
  <si>
    <t>L'image mariadb 12.0.1 n'existe pas sur Docker Hub, utilisation du tag 11.4</t>
  </si>
  <si>
    <t>Analyse des erreurs de déploiement multi-nœuds des répliques Nginx et WordPress sur les workers</t>
  </si>
  <si>
    <t>Tests d'équilibrage de charge et de placement des services dans Swarm</t>
  </si>
  <si>
    <t>Déploiement effectif de la stack wp_stack et synchronisation de la configuration Nginx sur tous les workers</t>
  </si>
  <si>
    <t>Diagnostic et résolution de la boucle infinie de redirection à la connexion admin (&amp;reauth=1)</t>
  </si>
  <si>
    <t>Mise à jour finale du README.md avec la résolution des clés secrètes et validation réussie de la connexion au tableau de bord</t>
  </si>
  <si>
    <t xml:space="preserve">Config du reverse proxy Nginx </t>
  </si>
  <si>
    <t>Réinitialisation et fiabilisation du cluster Swarm, recréation des réseaux overlay (frontend, backend) et des secrets Docker</t>
  </si>
  <si>
    <t>Rédaction docker-compose.yml</t>
  </si>
  <si>
    <t xml:space="preserve">Structuration du README.md étape par étape </t>
  </si>
  <si>
    <t>Configuration de l'accès client Windows sans droits administrateur et installation initiale du site WordPress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</si>
</sst>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7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6" fillId="13" borderId="2" xfId="0" applyNumberFormat="1" applyFont="1" applyFill="1" applyBorder="1"/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30</c:v>
                </c:pt>
                <c:pt idx="1">
                  <c:v>570</c:v>
                </c:pt>
                <c:pt idx="2">
                  <c:v>25</c:v>
                </c:pt>
                <c:pt idx="3">
                  <c:v>70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4"/>
                <c:pt idx="0">
                  <c:v>4.3165467625899283E-2</c:v>
                </c:pt>
                <c:pt idx="1">
                  <c:v>0.82014388489208634</c:v>
                </c:pt>
                <c:pt idx="2">
                  <c:v>3.5971223021582732E-2</c:v>
                </c:pt>
                <c:pt idx="3">
                  <c:v>0.10071942446043165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="85" zoomScaleNormal="85" workbookViewId="0">
      <pane ySplit="6" topLeftCell="A7" activePane="bottomLeft" state="frozen"/>
      <selection pane="bottomLeft" activeCell="F27" sqref="F27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0</v>
      </c>
      <c r="G1" s="11"/>
    </row>
    <row r="2" spans="1:15" ht="23.25" x14ac:dyDescent="0.35">
      <c r="A2" s="86" t="s">
        <v>1</v>
      </c>
      <c r="B2" s="86"/>
      <c r="C2" s="84" t="s">
        <v>2</v>
      </c>
      <c r="D2" s="84"/>
      <c r="E2" s="84"/>
      <c r="F2" s="5" t="s">
        <v>3</v>
      </c>
      <c r="G2" s="64" t="s">
        <v>30</v>
      </c>
    </row>
    <row r="3" spans="1:15" ht="23.25" x14ac:dyDescent="0.35">
      <c r="A3" s="86" t="s">
        <v>4</v>
      </c>
      <c r="B3" s="86"/>
      <c r="C3" s="67" t="str">
        <f>QUOTIENT(E4,60)&amp;" heures "&amp;MOD(E4,60)&amp;" minutes"</f>
        <v>11 heures 35 minutes</v>
      </c>
      <c r="D3" s="17"/>
      <c r="E3" s="3"/>
      <c r="F3" s="4" t="s">
        <v>5</v>
      </c>
      <c r="G3" s="65" t="s">
        <v>31</v>
      </c>
    </row>
    <row r="4" spans="1:15" ht="23.25" hidden="1" x14ac:dyDescent="0.35">
      <c r="B4" s="5"/>
      <c r="C4" s="17">
        <f>SUBTOTAL(9,$C$7:$C$531)*60</f>
        <v>240</v>
      </c>
      <c r="D4" s="17">
        <f>SUBTOTAL(9,$D$7:$D$531)</f>
        <v>455</v>
      </c>
      <c r="E4" s="24">
        <f>SUM(C4:D4)</f>
        <v>695</v>
      </c>
      <c r="F4" s="4"/>
      <c r="G4" s="6"/>
    </row>
    <row r="5" spans="1:15" x14ac:dyDescent="0.25">
      <c r="C5" s="85" t="s">
        <v>6</v>
      </c>
      <c r="D5" s="85"/>
    </row>
    <row r="6" spans="1:15" s="15" customFormat="1" ht="20.100000000000001" customHeight="1" x14ac:dyDescent="0.3">
      <c r="A6" s="13" t="s">
        <v>7</v>
      </c>
      <c r="B6" s="21" t="s">
        <v>8</v>
      </c>
      <c r="C6" s="25" t="s">
        <v>9</v>
      </c>
      <c r="D6" s="16" t="s">
        <v>10</v>
      </c>
      <c r="E6" s="14" t="s">
        <v>11</v>
      </c>
      <c r="F6" s="14" t="s">
        <v>12</v>
      </c>
      <c r="G6" s="14" t="s">
        <v>13</v>
      </c>
    </row>
    <row r="7" spans="1:15" x14ac:dyDescent="0.25">
      <c r="A7" s="61">
        <f>IF(ISBLANK(B7),"",_xlfn.ISOWEEKNUM('Journal de travail'!$B7))</f>
        <v>35</v>
      </c>
      <c r="B7" s="26">
        <v>46260</v>
      </c>
      <c r="C7" s="27"/>
      <c r="D7" s="28">
        <v>20</v>
      </c>
      <c r="E7" s="29" t="s">
        <v>15</v>
      </c>
      <c r="F7" s="23" t="s">
        <v>32</v>
      </c>
      <c r="G7" s="38"/>
    </row>
    <row r="8" spans="1:15" x14ac:dyDescent="0.25">
      <c r="A8" s="62">
        <f>IF(ISBLANK(B8),"",_xlfn.ISOWEEKNUM('Journal de travail'!$B8))</f>
        <v>35</v>
      </c>
      <c r="B8" s="30">
        <v>46260</v>
      </c>
      <c r="C8" s="31"/>
      <c r="D8" s="32">
        <v>20</v>
      </c>
      <c r="E8" s="33" t="s">
        <v>15</v>
      </c>
      <c r="F8" s="23" t="s">
        <v>33</v>
      </c>
      <c r="G8" s="39"/>
      <c r="M8" t="s">
        <v>14</v>
      </c>
      <c r="N8">
        <v>1</v>
      </c>
      <c r="O8">
        <v>0</v>
      </c>
    </row>
    <row r="9" spans="1:15" x14ac:dyDescent="0.25">
      <c r="A9" s="63">
        <f>IF(ISBLANK(B9),"",_xlfn.ISOWEEKNUM('Journal de travail'!$B9))</f>
        <v>35</v>
      </c>
      <c r="B9" s="34">
        <v>46260</v>
      </c>
      <c r="C9" s="35">
        <v>1</v>
      </c>
      <c r="D9" s="36">
        <v>10</v>
      </c>
      <c r="E9" s="37" t="s">
        <v>15</v>
      </c>
      <c r="F9" s="23" t="s">
        <v>34</v>
      </c>
      <c r="G9" s="40"/>
      <c r="M9" t="s">
        <v>15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35</v>
      </c>
      <c r="B10" s="30">
        <v>46260</v>
      </c>
      <c r="C10" s="31"/>
      <c r="D10" s="32">
        <v>15</v>
      </c>
      <c r="E10" s="33" t="s">
        <v>15</v>
      </c>
      <c r="F10" s="23" t="s">
        <v>35</v>
      </c>
      <c r="G10" s="39"/>
      <c r="M10" t="s">
        <v>16</v>
      </c>
      <c r="N10">
        <v>3</v>
      </c>
      <c r="O10">
        <v>10</v>
      </c>
    </row>
    <row r="11" spans="1:15" x14ac:dyDescent="0.25">
      <c r="A11" s="63">
        <f>IF(ISBLANK(B11),"",_xlfn.ISOWEEKNUM('Journal de travail'!$B11))</f>
        <v>36</v>
      </c>
      <c r="B11" s="34">
        <v>46267</v>
      </c>
      <c r="C11" s="35"/>
      <c r="D11" s="36">
        <v>35</v>
      </c>
      <c r="E11" s="37" t="s">
        <v>15</v>
      </c>
      <c r="F11" s="23" t="s">
        <v>36</v>
      </c>
      <c r="G11" s="40"/>
      <c r="M11" t="s">
        <v>17</v>
      </c>
      <c r="N11">
        <v>4</v>
      </c>
      <c r="O11">
        <v>15</v>
      </c>
    </row>
    <row r="12" spans="1:15" x14ac:dyDescent="0.25">
      <c r="A12" s="62">
        <f>IF(ISBLANK(B12),"",_xlfn.ISOWEEKNUM('Journal de travail'!$B12))</f>
        <v>36</v>
      </c>
      <c r="B12" s="30">
        <v>46267</v>
      </c>
      <c r="C12" s="31"/>
      <c r="D12" s="32">
        <v>25</v>
      </c>
      <c r="E12" s="33" t="s">
        <v>15</v>
      </c>
      <c r="F12" s="23" t="s">
        <v>37</v>
      </c>
      <c r="G12" s="39"/>
      <c r="M12" t="s">
        <v>18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36</v>
      </c>
      <c r="B13" s="34">
        <v>46267</v>
      </c>
      <c r="C13" s="35"/>
      <c r="D13" s="36">
        <v>45</v>
      </c>
      <c r="E13" s="37" t="s">
        <v>15</v>
      </c>
      <c r="F13" s="23" t="s">
        <v>38</v>
      </c>
      <c r="G13" s="40"/>
      <c r="N13">
        <v>6</v>
      </c>
      <c r="O13">
        <v>25</v>
      </c>
    </row>
    <row r="14" spans="1:15" x14ac:dyDescent="0.25">
      <c r="A14" s="62">
        <f>IF(ISBLANK(B14),"",_xlfn.ISOWEEKNUM('Journal de travail'!$B14))</f>
        <v>36</v>
      </c>
      <c r="B14" s="30">
        <v>46267</v>
      </c>
      <c r="C14" s="31">
        <v>1</v>
      </c>
      <c r="D14" s="32"/>
      <c r="E14" s="33" t="s">
        <v>15</v>
      </c>
      <c r="F14" s="23" t="s">
        <v>39</v>
      </c>
      <c r="G14" s="39" t="s">
        <v>40</v>
      </c>
      <c r="N14">
        <v>7</v>
      </c>
      <c r="O14">
        <v>30</v>
      </c>
    </row>
    <row r="15" spans="1:15" x14ac:dyDescent="0.25">
      <c r="A15" s="63">
        <f>IF(ISBLANK(B15),"",_xlfn.ISOWEEKNUM('Journal de travail'!$B15))</f>
        <v>37</v>
      </c>
      <c r="B15" s="34">
        <v>46274</v>
      </c>
      <c r="C15" s="35"/>
      <c r="D15" s="36">
        <v>30</v>
      </c>
      <c r="E15" s="37" t="s">
        <v>14</v>
      </c>
      <c r="F15" s="23" t="s">
        <v>41</v>
      </c>
      <c r="G15" s="40"/>
      <c r="N15">
        <v>8</v>
      </c>
      <c r="O15">
        <v>35</v>
      </c>
    </row>
    <row r="16" spans="1:15" x14ac:dyDescent="0.25">
      <c r="A16" s="62">
        <f>IF(ISBLANK(B16),"",_xlfn.ISOWEEKNUM('Journal de travail'!$B16))</f>
        <v>37</v>
      </c>
      <c r="B16" s="30">
        <v>46274</v>
      </c>
      <c r="C16" s="31">
        <v>1</v>
      </c>
      <c r="D16" s="32">
        <v>10</v>
      </c>
      <c r="E16" s="33" t="s">
        <v>15</v>
      </c>
      <c r="F16" s="23" t="s">
        <v>46</v>
      </c>
      <c r="G16" s="39"/>
      <c r="O16">
        <v>40</v>
      </c>
    </row>
    <row r="17" spans="1:15" x14ac:dyDescent="0.25">
      <c r="A17" s="63">
        <f>IF(ISBLANK(B17),"",_xlfn.ISOWEEKNUM('Journal de travail'!$B17))</f>
        <v>37</v>
      </c>
      <c r="B17" s="34">
        <v>46274</v>
      </c>
      <c r="C17" s="35"/>
      <c r="D17" s="36">
        <v>25</v>
      </c>
      <c r="E17" s="37" t="s">
        <v>16</v>
      </c>
      <c r="F17" s="23" t="s">
        <v>42</v>
      </c>
      <c r="G17" s="40"/>
      <c r="O17">
        <v>45</v>
      </c>
    </row>
    <row r="18" spans="1:15" ht="31.5" x14ac:dyDescent="0.25">
      <c r="A18" s="62">
        <f>IF(ISBLANK(B18),"",_xlfn.ISOWEEKNUM('Journal de travail'!$B18))</f>
        <v>38</v>
      </c>
      <c r="B18" s="30">
        <v>46281</v>
      </c>
      <c r="C18" s="31">
        <v>1</v>
      </c>
      <c r="D18" s="32">
        <v>40</v>
      </c>
      <c r="E18" s="33" t="s">
        <v>15</v>
      </c>
      <c r="F18" s="23" t="s">
        <v>47</v>
      </c>
      <c r="G18" s="39"/>
      <c r="O18">
        <v>50</v>
      </c>
    </row>
    <row r="19" spans="1:15" x14ac:dyDescent="0.25">
      <c r="A19" s="63">
        <f>IF(ISBLANK(B19),"",_xlfn.ISOWEEKNUM('Journal de travail'!$B19))</f>
        <v>38</v>
      </c>
      <c r="B19" s="34">
        <v>46281</v>
      </c>
      <c r="C19" s="35"/>
      <c r="D19" s="36">
        <v>25</v>
      </c>
      <c r="E19" s="37" t="s">
        <v>17</v>
      </c>
      <c r="F19" s="23" t="s">
        <v>48</v>
      </c>
      <c r="G19" s="40"/>
      <c r="O19">
        <v>55</v>
      </c>
    </row>
    <row r="20" spans="1:15" x14ac:dyDescent="0.25">
      <c r="A20" s="62">
        <f>IF(ISBLANK(B20),"",_xlfn.ISOWEEKNUM('Journal de travail'!$B20))</f>
        <v>38</v>
      </c>
      <c r="B20" s="30">
        <v>46281</v>
      </c>
      <c r="C20" s="31"/>
      <c r="D20" s="32">
        <v>20</v>
      </c>
      <c r="E20" s="33" t="s">
        <v>17</v>
      </c>
      <c r="F20" s="23" t="s">
        <v>49</v>
      </c>
      <c r="G20" s="39"/>
    </row>
    <row r="21" spans="1:15" ht="31.5" x14ac:dyDescent="0.25">
      <c r="A21" s="63">
        <f>IF(ISBLANK(B21),"",_xlfn.ISOWEEKNUM('Journal de travail'!$B21))</f>
        <v>40</v>
      </c>
      <c r="B21" s="34">
        <v>46293</v>
      </c>
      <c r="C21" s="35"/>
      <c r="D21" s="36">
        <v>35</v>
      </c>
      <c r="E21" s="37" t="s">
        <v>15</v>
      </c>
      <c r="F21" s="23" t="s">
        <v>43</v>
      </c>
      <c r="G21" s="40"/>
    </row>
    <row r="22" spans="1:15" ht="31.5" x14ac:dyDescent="0.25">
      <c r="A22" s="62">
        <f>IF(ISBLANK(B22),"",_xlfn.ISOWEEKNUM('Journal de travail'!$B22))</f>
        <v>40</v>
      </c>
      <c r="B22" s="30">
        <v>46293</v>
      </c>
      <c r="C22" s="31"/>
      <c r="D22" s="32">
        <v>30</v>
      </c>
      <c r="E22" s="33" t="s">
        <v>15</v>
      </c>
      <c r="F22" s="23" t="s">
        <v>50</v>
      </c>
      <c r="G22" s="39"/>
    </row>
    <row r="23" spans="1:15" x14ac:dyDescent="0.25">
      <c r="A23" s="63">
        <f>IF(ISBLANK(B23),"",_xlfn.ISOWEEKNUM('Journal de travail'!$B23))</f>
        <v>40</v>
      </c>
      <c r="B23" s="34">
        <v>46293</v>
      </c>
      <c r="C23" s="35"/>
      <c r="D23" s="36">
        <v>45</v>
      </c>
      <c r="E23" s="37" t="s">
        <v>15</v>
      </c>
      <c r="F23" s="23" t="s">
        <v>44</v>
      </c>
      <c r="G23" s="40"/>
    </row>
    <row r="24" spans="1:15" ht="31.5" x14ac:dyDescent="0.25">
      <c r="A24" s="62">
        <f>IF(ISBLANK(B24),"",_xlfn.ISOWEEKNUM('Journal de travail'!$B24))</f>
        <v>40</v>
      </c>
      <c r="B24" s="30">
        <v>46293</v>
      </c>
      <c r="C24" s="31"/>
      <c r="D24" s="32">
        <v>25</v>
      </c>
      <c r="E24" s="33" t="s">
        <v>17</v>
      </c>
      <c r="F24" s="23" t="s">
        <v>45</v>
      </c>
      <c r="G24" s="39"/>
    </row>
    <row r="25" spans="1:15" x14ac:dyDescent="0.25">
      <c r="A25" s="63" t="str">
        <f>IF(ISBLANK(B25),"",_xlfn.ISOWEEKNUM('Journal de travail'!$B25))</f>
        <v/>
      </c>
      <c r="B25" s="34"/>
      <c r="C25" s="35"/>
      <c r="D25" s="36"/>
      <c r="E25" s="37"/>
      <c r="F25" s="23"/>
      <c r="G25" s="40"/>
    </row>
    <row r="26" spans="1:15" x14ac:dyDescent="0.25">
      <c r="A26" s="62" t="str">
        <f>IF(ISBLANK(B26),"",_xlfn.ISOWEEKNUM('Journal de travail'!$B26))</f>
        <v/>
      </c>
      <c r="B26" s="30"/>
      <c r="C26" s="31"/>
      <c r="D26" s="32"/>
      <c r="E26" s="33"/>
      <c r="F26" s="23"/>
      <c r="G26" s="39"/>
    </row>
    <row r="27" spans="1:15" x14ac:dyDescent="0.25">
      <c r="A27" s="63" t="str">
        <f>IF(ISBLANK(B27),"",_xlfn.ISOWEEKNUM('Journal de travail'!$B27))</f>
        <v/>
      </c>
      <c r="B27" s="34"/>
      <c r="C27" s="35"/>
      <c r="D27" s="36"/>
      <c r="E27" s="37"/>
      <c r="F27" s="23"/>
      <c r="G27" s="40"/>
    </row>
    <row r="28" spans="1:15" x14ac:dyDescent="0.25">
      <c r="A28" s="62" t="str">
        <f>IF(ISBLANK(B28),"",_xlfn.ISOWEEKNUM('Journal de travail'!$B28))</f>
        <v/>
      </c>
      <c r="B28" s="30"/>
      <c r="C28" s="31"/>
      <c r="D28" s="32"/>
      <c r="E28" s="33"/>
      <c r="F28" s="22"/>
      <c r="G28" s="39"/>
    </row>
    <row r="29" spans="1:15" x14ac:dyDescent="0.25">
      <c r="A29" s="63" t="str">
        <f>IF(ISBLANK(B29),"",_xlfn.ISOWEEKNUM('Journal de travail'!$B29))</f>
        <v/>
      </c>
      <c r="B29" s="34"/>
      <c r="C29" s="35"/>
      <c r="D29" s="36"/>
      <c r="E29" s="37"/>
      <c r="F29" s="22"/>
      <c r="G29" s="40"/>
    </row>
    <row r="30" spans="1:15" x14ac:dyDescent="0.25">
      <c r="A30" s="62" t="str">
        <f>IF(ISBLANK(B30),"",_xlfn.ISOWEEKNUM('Journal de travail'!$B30))</f>
        <v/>
      </c>
      <c r="B30" s="30"/>
      <c r="C30" s="31"/>
      <c r="D30" s="32"/>
      <c r="E30" s="33"/>
      <c r="F30" s="23"/>
      <c r="G30" s="39"/>
    </row>
    <row r="31" spans="1:15" x14ac:dyDescent="0.25">
      <c r="A31" s="63" t="str">
        <f>IF(ISBLANK(B31),"",_xlfn.ISOWEEKNUM('Journal de travail'!$B31))</f>
        <v/>
      </c>
      <c r="B31" s="34"/>
      <c r="C31" s="35"/>
      <c r="D31" s="36"/>
      <c r="E31" s="37"/>
      <c r="F31" s="22"/>
      <c r="G31" s="40"/>
    </row>
    <row r="32" spans="1:15" x14ac:dyDescent="0.25">
      <c r="A32" s="62" t="str">
        <f>IF(ISBLANK(B32),"",_xlfn.ISOWEEKNUM('Journal de travail'!$B32))</f>
        <v/>
      </c>
      <c r="B32" s="30"/>
      <c r="C32" s="31"/>
      <c r="D32" s="32"/>
      <c r="E32" s="33"/>
      <c r="F32" s="23"/>
      <c r="G32" s="39"/>
    </row>
    <row r="33" spans="1:7" x14ac:dyDescent="0.25">
      <c r="A33" s="63" t="str">
        <f>IF(ISBLANK(B33),"",_xlfn.ISOWEEKNUM('Journal de travail'!$B33))</f>
        <v/>
      </c>
      <c r="B33" s="34"/>
      <c r="C33" s="35"/>
      <c r="D33" s="36"/>
      <c r="E33" s="37"/>
      <c r="F33" s="22"/>
      <c r="G33" s="40"/>
    </row>
    <row r="34" spans="1:7" x14ac:dyDescent="0.25">
      <c r="A34" s="62" t="str">
        <f>IF(ISBLANK(B34),"",_xlfn.ISOWEEKNUM('Journal de travail'!$B34))</f>
        <v/>
      </c>
      <c r="B34" s="30"/>
      <c r="C34" s="31"/>
      <c r="D34" s="32"/>
      <c r="E34" s="33"/>
      <c r="F34" s="22"/>
      <c r="G34" s="39"/>
    </row>
    <row r="35" spans="1:7" x14ac:dyDescent="0.25">
      <c r="A35" s="63" t="str">
        <f>IF(ISBLANK(B35),"",_xlfn.ISOWEEKNUM('Journal de travail'!$B35))</f>
        <v/>
      </c>
      <c r="B35" s="34"/>
      <c r="C35" s="35"/>
      <c r="D35" s="36"/>
      <c r="E35" s="37"/>
      <c r="F35" s="23"/>
      <c r="G35" s="40"/>
    </row>
    <row r="36" spans="1:7" x14ac:dyDescent="0.25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5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2" workbookViewId="0">
      <selection activeCell="T20" sqref="T20"/>
    </sheetView>
  </sheetViews>
  <sheetFormatPr baseColWidth="10" defaultColWidth="11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19</v>
      </c>
      <c r="F2" s="68">
        <v>90</v>
      </c>
      <c r="G2" s="66" t="s">
        <v>20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21</v>
      </c>
      <c r="L4" s="66" t="s">
        <v>22</v>
      </c>
      <c r="M4" s="41"/>
      <c r="N4" s="19"/>
    </row>
    <row r="5" spans="1:14" x14ac:dyDescent="0.3">
      <c r="A5" t="s">
        <v>23</v>
      </c>
      <c r="B5" t="s">
        <v>24</v>
      </c>
      <c r="C5" s="41" t="s">
        <v>25</v>
      </c>
      <c r="D5" s="42"/>
      <c r="E5" s="45" t="s">
        <v>26</v>
      </c>
      <c r="F5" s="46" t="s">
        <v>27</v>
      </c>
      <c r="G5" s="47" t="s">
        <v>28</v>
      </c>
      <c r="L5" s="48" t="s">
        <v>26</v>
      </c>
      <c r="M5" s="49" t="s">
        <v>27</v>
      </c>
      <c r="N5" s="50" t="s">
        <v>28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30</v>
      </c>
      <c r="C6">
        <f t="shared" ref="C6:C10" si="0">SUM(A6:B6)</f>
        <v>30</v>
      </c>
      <c r="E6" s="70" t="str">
        <f>'Journal de travail'!M8</f>
        <v>Analyse</v>
      </c>
      <c r="F6" s="71" t="str">
        <f>QUOTIENT(SUM(A6:B6),60)&amp;" h "&amp;TEXT(MOD(SUM(A6:B6),60), "00")&amp;" min"</f>
        <v>0 h 30 min</v>
      </c>
      <c r="G6" s="72">
        <f>SUM(A6:B6)/$C$11</f>
        <v>4.3165467625899283E-2</v>
      </c>
      <c r="L6" s="51" t="str">
        <f>'Journal de travail'!M8</f>
        <v>Analyse</v>
      </c>
      <c r="M6" s="52" t="str">
        <f>INT($F$2*N6)&amp;" h "&amp;TEXT(ROUND(MOD($F$2*N6,1)*60,0),"00")&amp;" m"</f>
        <v>18 h 00 m</v>
      </c>
      <c r="N6" s="58">
        <v>0.2</v>
      </c>
    </row>
    <row r="7" spans="1:14" x14ac:dyDescent="0.3">
      <c r="A7">
        <f>SUMIF('Journal de travail'!$E$7:$E$532,Plannification!E7,'Journal de travail'!$C$7:$C$532)*60</f>
        <v>240</v>
      </c>
      <c r="B7">
        <f>SUMIF('Journal de travail'!$E$7:$E$532,Plannification!E7,'Journal de travail'!$D$7:$D$532)</f>
        <v>330</v>
      </c>
      <c r="C7">
        <f t="shared" si="0"/>
        <v>570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9 h 30 min</v>
      </c>
      <c r="G7" s="75">
        <f t="shared" ref="G7:G9" si="2">SUM(A7:B7)/$C$11</f>
        <v>0.82014388489208634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31 h 30 m</v>
      </c>
      <c r="N7" s="59">
        <v>0.35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25</v>
      </c>
      <c r="C8">
        <f t="shared" si="0"/>
        <v>25</v>
      </c>
      <c r="E8" s="76" t="str">
        <f>'Journal de travail'!M10</f>
        <v>Test</v>
      </c>
      <c r="F8" s="71" t="str">
        <f t="shared" si="1"/>
        <v>0 h 25 min</v>
      </c>
      <c r="G8" s="72">
        <f t="shared" si="2"/>
        <v>3.5971223021582732E-2</v>
      </c>
      <c r="L8" s="54" t="str">
        <f>'Journal de travail'!M10</f>
        <v>Test</v>
      </c>
      <c r="M8" s="52" t="str">
        <f t="shared" si="3"/>
        <v>4 h 30 m</v>
      </c>
      <c r="N8" s="58">
        <v>0.05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70</v>
      </c>
      <c r="C9">
        <f t="shared" si="0"/>
        <v>70</v>
      </c>
      <c r="E9" s="77" t="str">
        <f>'Journal de travail'!M11</f>
        <v>Documentation</v>
      </c>
      <c r="F9" s="74" t="str">
        <f t="shared" si="1"/>
        <v>1 h 10 min</v>
      </c>
      <c r="G9" s="75">
        <f t="shared" si="2"/>
        <v>0.10071942446043165</v>
      </c>
      <c r="L9" s="55" t="str">
        <f>'Journal de travail'!M11</f>
        <v>Documentation</v>
      </c>
      <c r="M9" s="52" t="str">
        <f t="shared" si="3"/>
        <v>36 h 00 m</v>
      </c>
      <c r="N9" s="59">
        <v>0.4</v>
      </c>
    </row>
    <row r="10" spans="1:14" hidden="1" x14ac:dyDescent="0.3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8" t="s">
        <v>18</v>
      </c>
      <c r="F10" s="79" t="str">
        <f t="shared" ref="F10" si="4">QUOTIENT(SUM(A10:B10),60)&amp;" h "&amp;TEXT(MOD(SUM(A10:B10),60), "00")&amp;" min"</f>
        <v>0 h 00 min</v>
      </c>
      <c r="G10" s="80">
        <f>SUM(A10:B10)/$C$11</f>
        <v>0</v>
      </c>
      <c r="L10" s="69" t="s">
        <v>18</v>
      </c>
      <c r="M10" s="52" t="str">
        <f t="shared" si="3"/>
        <v>0 h 00 m</v>
      </c>
      <c r="N10" s="83">
        <v>0</v>
      </c>
    </row>
    <row r="11" spans="1:14" x14ac:dyDescent="0.3">
      <c r="A11">
        <f>SUM(A6:A10)</f>
        <v>240</v>
      </c>
      <c r="B11">
        <f>SUM(B6:B10)</f>
        <v>455</v>
      </c>
      <c r="C11">
        <f>SUM(A11:B11)</f>
        <v>695</v>
      </c>
      <c r="E11" s="81" t="s">
        <v>29</v>
      </c>
      <c r="F11" s="71" t="str">
        <f t="shared" si="1"/>
        <v>11 h 35 min</v>
      </c>
      <c r="G11" s="82">
        <f>C11/C12</f>
        <v>0.12870370370370371</v>
      </c>
      <c r="L11" s="56" t="s">
        <v>29</v>
      </c>
      <c r="M11" s="57"/>
      <c r="N11" s="60">
        <f>SUM(N6:N10)</f>
        <v>1</v>
      </c>
    </row>
    <row r="12" spans="1:14" x14ac:dyDescent="0.3">
      <c r="C12">
        <f>F2*60</f>
        <v>5400</v>
      </c>
    </row>
    <row r="13" spans="1:14" x14ac:dyDescent="0.3">
      <c r="F13" s="43"/>
    </row>
  </sheetData>
  <sheetProtection algorithmName="SHA-512" hashValue="u6Q3+o7a9rb9ajPGMQFXFJBxNR95C93y6qzzKCld0gZtCTYGL+7OMe+WbK2ki7xwzk+WSRqA9/xPSrIc7CBoPg==" saltValue="e1RdssACZUGVypOFgaRLDA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baseColWidth="10" defaultColWidth="11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0a0681-8b2f-4a46-9dab-cf1520193f81">
      <Terms xmlns="http://schemas.microsoft.com/office/infopath/2007/PartnerControls"/>
    </lcf76f155ced4ddcb4097134ff3c332f>
    <TaxCatchAll xmlns="932fafb7-d8e0-4a14-bee3-33aad5c7130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1120F001D1794FAA6F4057E3355991" ma:contentTypeVersion="10" ma:contentTypeDescription="Crée un document." ma:contentTypeScope="" ma:versionID="62349bcdb43c26c508700efba1cb50b1">
  <xsd:schema xmlns:xsd="http://www.w3.org/2001/XMLSchema" xmlns:xs="http://www.w3.org/2001/XMLSchema" xmlns:p="http://schemas.microsoft.com/office/2006/metadata/properties" xmlns:ns2="f20a0681-8b2f-4a46-9dab-cf1520193f81" xmlns:ns3="932fafb7-d8e0-4a14-bee3-33aad5c71309" targetNamespace="http://schemas.microsoft.com/office/2006/metadata/properties" ma:root="true" ma:fieldsID="0e5d6db3f342a25e0e30f4a2965162e1" ns2:_="" ns3:_="">
    <xsd:import namespace="f20a0681-8b2f-4a46-9dab-cf1520193f81"/>
    <xsd:import namespace="932fafb7-d8e0-4a14-bee3-33aad5c71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a0681-8b2f-4a46-9dab-cf1520193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fafb7-d8e0-4a14-bee3-33aad5c71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eb120a-7290-4c31-81ff-683cec3c1602}" ma:internalName="TaxCatchAll" ma:showField="CatchAllData" ma:web="932fafb7-d8e0-4a14-bee3-33aad5c71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932fafb7-d8e0-4a14-bee3-33aad5c71309"/>
    <ds:schemaRef ds:uri="f20a0681-8b2f-4a46-9dab-cf1520193f81"/>
  </ds:schemaRefs>
</ds:datastoreItem>
</file>

<file path=customXml/itemProps3.xml><?xml version="1.0" encoding="utf-8"?>
<ds:datastoreItem xmlns:ds="http://schemas.openxmlformats.org/officeDocument/2006/customXml" ds:itemID="{1424D28F-D6A9-45ED-AED5-A0D744400E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a0681-8b2f-4a46-9dab-cf1520193f81"/>
    <ds:schemaRef ds:uri="932fafb7-d8e0-4a14-bee3-33aad5c713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Kiril Bormin</cp:lastModifiedBy>
  <cp:revision/>
  <dcterms:created xsi:type="dcterms:W3CDTF">2023-11-21T20:00:34Z</dcterms:created>
  <dcterms:modified xsi:type="dcterms:W3CDTF">2026-09-28T12:07:32Z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0x0101005B1120F001D1794FAA6F4057E3355991</vt:lpwstr>
  </property>
  <property fmtid="{D5CDD505-2E9C-101B-9397-08002B2CF9AE}" pid="3" name="MediaServiceImageTags">
    <vt:lpwstr/>
  </property>
</Properties>
</file>